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33f7402d99bf5f82/Documents/"/>
    </mc:Choice>
  </mc:AlternateContent>
  <xr:revisionPtr revIDLastSave="0" documentId="8_{D34FEB3A-B52C-4DC1-8546-ED582F1C96F1}" xr6:coauthVersionLast="47" xr6:coauthVersionMax="47" xr10:uidLastSave="{00000000-0000-0000-0000-000000000000}"/>
  <bookViews>
    <workbookView xWindow="-108" yWindow="-108" windowWidth="23256" windowHeight="12456" activeTab="1" xr2:uid="{ABECC46A-1A15-4C84-90D5-F9DF0CD96134}"/>
  </bookViews>
  <sheets>
    <sheet name="Raw_data" sheetId="1" r:id="rId1"/>
    <sheet name="Dashboard" sheetId="6" r:id="rId2"/>
  </sheets>
  <definedNames>
    <definedName name="Slicer_Product">#N/A</definedName>
    <definedName name="Slicer_Region">#N/A</definedName>
  </definedNames>
  <calcPr calcId="191029"/>
  <pivotCaches>
    <pivotCache cacheId="34"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 i="6" l="1"/>
  <c r="B29" i="6"/>
  <c r="H2" i="1"/>
  <c r="H3" i="1"/>
  <c r="H4" i="1"/>
  <c r="H5" i="1"/>
  <c r="I5" i="1" s="1"/>
  <c r="H6" i="1"/>
  <c r="I6" i="1" s="1"/>
  <c r="H7" i="1"/>
  <c r="I7" i="1" s="1"/>
  <c r="H8" i="1"/>
  <c r="I8" i="1" s="1"/>
  <c r="H9" i="1"/>
  <c r="I9" i="1" s="1"/>
  <c r="H10" i="1"/>
  <c r="H11" i="1"/>
  <c r="H12" i="1"/>
  <c r="H13" i="1"/>
  <c r="I13" i="1" s="1"/>
  <c r="H14" i="1"/>
  <c r="I14" i="1" s="1"/>
  <c r="H15" i="1"/>
  <c r="I15" i="1" s="1"/>
  <c r="H16" i="1"/>
  <c r="I16" i="1" s="1"/>
  <c r="H17" i="1"/>
  <c r="I17" i="1" s="1"/>
  <c r="H18" i="1"/>
  <c r="H19" i="1"/>
  <c r="H20" i="1"/>
  <c r="H21" i="1"/>
  <c r="I21" i="1" s="1"/>
  <c r="H22" i="1"/>
  <c r="I22" i="1" s="1"/>
  <c r="H23" i="1"/>
  <c r="I23" i="1" s="1"/>
  <c r="H24" i="1"/>
  <c r="I24" i="1" s="1"/>
  <c r="H25" i="1"/>
  <c r="I25" i="1" s="1"/>
  <c r="H26" i="1"/>
  <c r="H27" i="1"/>
  <c r="H28" i="1"/>
  <c r="H29" i="1"/>
  <c r="I29" i="1" s="1"/>
  <c r="H30" i="1"/>
  <c r="I30" i="1" s="1"/>
  <c r="H31" i="1"/>
  <c r="I31" i="1" s="1"/>
  <c r="I3" i="1"/>
  <c r="I4" i="1"/>
  <c r="I10" i="1"/>
  <c r="I11" i="1"/>
  <c r="I12" i="1"/>
  <c r="I18" i="1"/>
  <c r="I19" i="1"/>
  <c r="I20" i="1"/>
  <c r="I26" i="1"/>
  <c r="I27" i="1"/>
  <c r="I28" i="1"/>
  <c r="I2" i="1"/>
</calcChain>
</file>

<file path=xl/sharedStrings.xml><?xml version="1.0" encoding="utf-8"?>
<sst xmlns="http://schemas.openxmlformats.org/spreadsheetml/2006/main" count="158" uniqueCount="58">
  <si>
    <t>Order_date</t>
  </si>
  <si>
    <t>Order_id</t>
  </si>
  <si>
    <t>Product</t>
  </si>
  <si>
    <t>Category</t>
  </si>
  <si>
    <t>Region</t>
  </si>
  <si>
    <t>Quantity</t>
  </si>
  <si>
    <t>Unit_Price</t>
  </si>
  <si>
    <t>Sales</t>
  </si>
  <si>
    <t>Profit</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</si>
  <si>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</si>
  <si>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</si>
  <si>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</si>
  <si>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</si>
  <si>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</si>
  <si>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</si>
  <si>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</si>
  <si>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</si>
  <si>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</si>
  <si>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</si>
  <si>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</si>
  <si>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</si>
  <si>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</si>
  <si>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</si>
  <si>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</si>
  <si>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</si>
  <si>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</si>
  <si>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</si>
  <si>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</si>
  <si>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</si>
  <si>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</si>
  <si>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</si>
  <si>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</si>
  <si>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</si>
  <si>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</si>
  <si>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</si>
  <si>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</si>
  <si>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</si>
  <si>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</si>
  <si>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</si>
  <si>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Laptop</t>
  </si>
  <si>
    <t>Mobile</t>
  </si>
  <si>
    <t>Headphones</t>
  </si>
  <si>
    <t>Tablet</t>
  </si>
  <si>
    <t>Electronics</t>
  </si>
  <si>
    <t>Accessories</t>
  </si>
  <si>
    <t>North</t>
  </si>
  <si>
    <t>South</t>
  </si>
  <si>
    <t>East</t>
  </si>
  <si>
    <t>West</t>
  </si>
  <si>
    <t>Row Labels</t>
  </si>
  <si>
    <t>Grand Total</t>
  </si>
  <si>
    <t>Sum of Sales</t>
  </si>
  <si>
    <t>Sum of Profit</t>
  </si>
  <si>
    <t>Jan</t>
  </si>
  <si>
    <t>Feb</t>
  </si>
  <si>
    <t>Mar</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</si>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</sst>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Aptos Narrow"/>
      <family val="2"/>
      <scheme val="minor"/>
    </font>
    <font>
      <b/>
      <sz val="11"/>
      <color theme="1"/>
      <name val="Aptos Narrow"/>
      <family val="2"/>
      <scheme val="minor"/>
    </font>
    <font>
      <b/>
      <sz val="20"/>
      <color theme="1"/>
      <name val="Aptos Narrow"/>
      <family val="2"/>
      <scheme val="minor"/>
    </font>
    <font>
      <b/>
      <sz val="16"/>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1" fillId="2" borderId="0" xfId="0" applyNumberFormat="1" applyFont="1" applyFill="1" applyAlignment="1">
      <alignment horizontal="center" vertical="top"/>
    </xf>
    <xf numFmtId="0" fontId="1" fillId="2" borderId="0" xfId="0" applyFont="1" applyFill="1" applyAlignment="1">
      <alignment horizontal="center" vertical="top"/>
    </xf>
    <xf numFmtId="1" fontId="1" fillId="2" borderId="0" xfId="0" applyNumberFormat="1" applyFont="1" applyFill="1" applyAlignment="1">
      <alignment horizontal="center" vertical="top"/>
    </xf>
    <xf numFmtId="164" fontId="1" fillId="2" borderId="0" xfId="0" applyNumberFormat="1" applyFont="1" applyFill="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center"/>
    </xf>
    <xf numFmtId="0" fontId="0" fillId="0" borderId="0" xfId="0" applyAlignment="1">
      <alignment horizontal="center"/>
    </xf>
    <xf numFmtId="164" fontId="2" fillId="3" borderId="1" xfId="0" applyNumberFormat="1" applyFont="1" applyFill="1" applyBorder="1" applyAlignment="1">
      <alignment horizontal="center"/>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[EXCEL_SALES_ANALYSIS2.xlsx]Raw_data!Sales_by_region</c:name>
    <c:fmtId val="21"/>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b="1">
                <a:solidFill>
                  <a:schemeClr val="tx2"/>
                </a:solidFill>
              </a:rPr>
              <a:t>Total</a:t>
            </a:r>
            <a:r>
              <a:rPr lang="en-US" b="1" baseline="0">
                <a:solidFill>
                  <a:schemeClr val="tx2"/>
                </a:solidFill>
              </a:rPr>
              <a:t>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Raw_data!$M$4</c:f>
              <c:strCache>
                <c:ptCount val="1"/>
                <c:pt idx="0">
                  <c:v>Total</c:v>
                </c:pt>
              </c:strCache>
            </c:strRef>
          </c:tx>
          <c:spPr>
            <a:solidFill>
              <a:schemeClr val="accent1"/>
            </a:solidFill>
            <a:ln>
              <a:noFill/>
            </a:ln>
            <a:effectLst/>
          </c:spPr>
          <c:invertIfNegative val="0"/>
          <c:cat>
            <c:strRef>
              <c:f>Raw_data!$L$5:$L$9</c:f>
              <c:strCache>
                <c:ptCount val="4"/>
                <c:pt idx="0">
                  <c:v>East</c:v>
                </c:pt>
                <c:pt idx="1">
                  <c:v>North</c:v>
                </c:pt>
                <c:pt idx="2">
                  <c:v>South</c:v>
                </c:pt>
                <c:pt idx="3">
                  <c:v>West</c:v>
                </c:pt>
              </c:strCache>
            </c:strRef>
          </c:cat>
          <c:val>
            <c:numRef>
              <c:f>Raw_data!$M$5:$M$9</c:f>
              <c:numCache>
                <c:formatCode>General</c:formatCode>
                <c:ptCount val="4"/>
                <c:pt idx="0">
                  <c:v>374700</c:v>
                </c:pt>
                <c:pt idx="1">
                  <c:v>528600</c:v>
                </c:pt>
                <c:pt idx="2">
                  <c:v>603300</c:v>
                </c:pt>
                <c:pt idx="3">
                  <c:v>405300</c:v>
                </c:pt>
              </c:numCache>
            </c:numRef>
          </c:val>
          <c:extLst>
            <c:ext xmlns:c16="http://schemas.microsoft.com/office/drawing/2014/chart" uri="{C3380CC4-5D6E-409C-BE32-E72D297353CC}">
              <c16:uniqueId val="{00000000-AC4F-475C-88D7-13A92D2F9B9A}"/>
            </c:ext>
          </c:extLst>
        </c:ser>
        <c:dLbls>
          <c:showLegendKey val="0"/>
          <c:showVal val="0"/>
          <c:showCatName val="0"/>
          <c:showSerName val="0"/>
          <c:showPercent val="0"/>
          <c:showBubbleSize val="0"/>
        </c:dLbls>
        <c:gapWidth val="219"/>
        <c:overlap val="-27"/>
        <c:axId val="1686650015"/>
        <c:axId val="1964797007"/>
      </c:barChart>
      <c:catAx>
        <c:axId val="16866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797007"/>
        <c:crosses val="autoZero"/>
        <c:auto val="1"/>
        <c:lblAlgn val="ctr"/>
        <c:lblOffset val="100"/>
        <c:noMultiLvlLbl val="0"/>
      </c:catAx>
      <c:valAx>
        <c:axId val="1964797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665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[EXCEL_SALES_ANALYSIS2.xlsx]Raw_data!Profit_by_Product</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a:t>
            </a:r>
            <a:r>
              <a:rPr lang="en-US" baseline="0"/>
              <a:t> Contribution by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pivotFmt>
      <c:pivotFmt>
        <c:idx val="3"/>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pivotFmt>
      <c:pivotFmt>
        <c:idx val="4"/>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pivotFmt>
      <c:pivotFmt>
        <c:idx val="5"/>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pivotFmt>
    </c:pivotFmts>
    <c:plotArea>
      <c:layout/>
      <c:pieChart>
        <c:varyColors val="1"/>
        <c:ser>
          <c:idx val="0"/>
          <c:order val="0"/>
          <c:tx>
            <c:strRef>
              <c:f>Raw_data!$M$15</c:f>
              <c:strCache>
                <c:ptCount val="1"/>
                <c:pt idx="0">
                  <c:v>Total</c:v>
                </c:pt>
              </c:strCache>
            </c:strRef>
          </c:tx>
          <c:dPt>
            <c:idx val="0"/>
            <c:bubble3D val="0"/>
            <c:spPr>
              <a:gradFill rotWithShape="1">
                <a:gsLst>
                  <a:gs pos="0">
                    <a:schemeClr val="accent1">
                      <a:tint val="58000"/>
                      <a:satMod val="103000"/>
                      <a:lumMod val="102000"/>
                      <a:tint val="94000"/>
                    </a:schemeClr>
                  </a:gs>
                  <a:gs pos="50000">
                    <a:schemeClr val="accent1">
                      <a:tint val="58000"/>
                      <a:satMod val="110000"/>
                      <a:lumMod val="100000"/>
                      <a:shade val="100000"/>
                    </a:schemeClr>
                  </a:gs>
                  <a:gs pos="100000">
                    <a:schemeClr val="accent1">
                      <a:tint val="58000"/>
                      <a:lumMod val="99000"/>
                      <a:satMod val="120000"/>
                      <a:shade val="78000"/>
                    </a:schemeClr>
                  </a:gs>
                </a:gsLst>
                <a:lin ang="5400000" scaled="0"/>
              </a:gradFill>
              <a:ln>
                <a:noFill/>
              </a:ln>
              <a:effectLst/>
            </c:spPr>
            <c:extLst>
              <c:ext xmlns:c16="http://schemas.microsoft.com/office/drawing/2014/chart" uri="{C3380CC4-5D6E-409C-BE32-E72D297353CC}">
                <c16:uniqueId val="{00000001-30F7-4429-89AD-8889354C2A12}"/>
              </c:ext>
            </c:extLst>
          </c:dPt>
          <c:dPt>
            <c:idx val="1"/>
            <c:bubble3D val="0"/>
            <c:spPr>
              <a:gradFill rotWithShape="1">
                <a:gsLst>
                  <a:gs pos="0">
                    <a:schemeClr val="accent1">
                      <a:tint val="86000"/>
                      <a:satMod val="103000"/>
                      <a:lumMod val="102000"/>
                      <a:tint val="94000"/>
                    </a:schemeClr>
                  </a:gs>
                  <a:gs pos="50000">
                    <a:schemeClr val="accent1">
                      <a:tint val="86000"/>
                      <a:satMod val="110000"/>
                      <a:lumMod val="100000"/>
                      <a:shade val="100000"/>
                    </a:schemeClr>
                  </a:gs>
                  <a:gs pos="100000">
                    <a:schemeClr val="accent1">
                      <a:tint val="86000"/>
                      <a:lumMod val="99000"/>
                      <a:satMod val="120000"/>
                      <a:shade val="78000"/>
                    </a:schemeClr>
                  </a:gs>
                </a:gsLst>
                <a:lin ang="5400000" scaled="0"/>
              </a:gradFill>
              <a:ln>
                <a:noFill/>
              </a:ln>
              <a:effectLst/>
            </c:spPr>
            <c:extLst>
              <c:ext xmlns:c16="http://schemas.microsoft.com/office/drawing/2014/chart" uri="{C3380CC4-5D6E-409C-BE32-E72D297353CC}">
                <c16:uniqueId val="{00000003-30F7-4429-89AD-8889354C2A12}"/>
              </c:ext>
            </c:extLst>
          </c:dPt>
          <c:dPt>
            <c:idx val="2"/>
            <c:bubble3D val="0"/>
            <c:spPr>
              <a:gradFill rotWithShape="1">
                <a:gsLst>
                  <a:gs pos="0">
                    <a:schemeClr val="accent1">
                      <a:shade val="86000"/>
                      <a:satMod val="103000"/>
                      <a:lumMod val="102000"/>
                      <a:tint val="94000"/>
                    </a:schemeClr>
                  </a:gs>
                  <a:gs pos="50000">
                    <a:schemeClr val="accent1">
                      <a:shade val="86000"/>
                      <a:satMod val="110000"/>
                      <a:lumMod val="100000"/>
                      <a:shade val="100000"/>
                    </a:schemeClr>
                  </a:gs>
                  <a:gs pos="100000">
                    <a:schemeClr val="accent1">
                      <a:shade val="86000"/>
                      <a:lumMod val="99000"/>
                      <a:satMod val="120000"/>
                      <a:shade val="78000"/>
                    </a:schemeClr>
                  </a:gs>
                </a:gsLst>
                <a:lin ang="5400000" scaled="0"/>
              </a:gradFill>
              <a:ln>
                <a:noFill/>
              </a:ln>
              <a:effectLst/>
            </c:spPr>
            <c:extLst>
              <c:ext xmlns:c16="http://schemas.microsoft.com/office/drawing/2014/chart" uri="{C3380CC4-5D6E-409C-BE32-E72D297353CC}">
                <c16:uniqueId val="{00000005-30F7-4429-89AD-8889354C2A12}"/>
              </c:ext>
            </c:extLst>
          </c:dPt>
          <c:dPt>
            <c:idx val="3"/>
            <c:bubble3D val="0"/>
            <c:spPr>
              <a:gradFill rotWithShape="1">
                <a:gsLst>
                  <a:gs pos="0">
                    <a:schemeClr val="accent1">
                      <a:shade val="58000"/>
                      <a:satMod val="103000"/>
                      <a:lumMod val="102000"/>
                      <a:tint val="94000"/>
                    </a:schemeClr>
                  </a:gs>
                  <a:gs pos="50000">
                    <a:schemeClr val="accent1">
                      <a:shade val="58000"/>
                      <a:satMod val="110000"/>
                      <a:lumMod val="100000"/>
                      <a:shade val="100000"/>
                    </a:schemeClr>
                  </a:gs>
                  <a:gs pos="100000">
                    <a:schemeClr val="accent1">
                      <a:shade val="58000"/>
                      <a:lumMod val="99000"/>
                      <a:satMod val="120000"/>
                      <a:shade val="78000"/>
                    </a:schemeClr>
                  </a:gs>
                </a:gsLst>
                <a:lin ang="5400000" scaled="0"/>
              </a:gradFill>
              <a:ln>
                <a:noFill/>
              </a:ln>
              <a:effectLst/>
            </c:spPr>
            <c:extLst>
              <c:ext xmlns:c16="http://schemas.microsoft.com/office/drawing/2014/chart" uri="{C3380CC4-5D6E-409C-BE32-E72D297353CC}">
                <c16:uniqueId val="{00000007-30F7-4429-89AD-8889354C2A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Raw_data!$L$16:$L$20</c:f>
              <c:strCache>
                <c:ptCount val="4"/>
                <c:pt idx="0">
                  <c:v>Headphones</c:v>
                </c:pt>
                <c:pt idx="1">
                  <c:v>Laptop</c:v>
                </c:pt>
                <c:pt idx="2">
                  <c:v>Mobile</c:v>
                </c:pt>
                <c:pt idx="3">
                  <c:v>Tablet</c:v>
                </c:pt>
              </c:strCache>
            </c:strRef>
          </c:cat>
          <c:val>
            <c:numRef>
              <c:f>Raw_data!$M$16:$M$20</c:f>
              <c:numCache>
                <c:formatCode>General</c:formatCode>
                <c:ptCount val="4"/>
                <c:pt idx="0">
                  <c:v>24180</c:v>
                </c:pt>
                <c:pt idx="1">
                  <c:v>158900</c:v>
                </c:pt>
                <c:pt idx="2">
                  <c:v>100800</c:v>
                </c:pt>
                <c:pt idx="3">
                  <c:v>98500</c:v>
                </c:pt>
              </c:numCache>
            </c:numRef>
          </c:val>
          <c:extLst>
            <c:ext xmlns:c16="http://schemas.microsoft.com/office/drawing/2014/chart" uri="{C3380CC4-5D6E-409C-BE32-E72D297353CC}">
              <c16:uniqueId val="{00000008-30F7-4429-89AD-8889354C2A1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[EXCEL_SALES_ANALYSIS2.xlsx]Raw_data!Monthly_sales_trend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Monthly</a:t>
            </a:r>
            <a:r>
              <a:rPr lang="en-US" b="1" baseline="0">
                <a:solidFill>
                  <a:schemeClr val="tx2"/>
                </a:solidFill>
              </a:rPr>
              <a:t> Sales Trend</a:t>
            </a:r>
            <a:endParaRPr lang="en-US" b="1">
              <a:solidFill>
                <a:schemeClr val="tx2"/>
              </a:solidFill>
            </a:endParaRPr>
          </a:p>
        </c:rich>
      </c:tx>
      <c:layout>
        <c:manualLayout>
          <c:xMode val="edge"/>
          <c:yMode val="edge"/>
          <c:x val="0.35542111448237462"/>
          <c:y val="0.118311848205248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91426071741034"/>
          <c:y val="0.23087744240303296"/>
          <c:w val="0.69896019247594054"/>
          <c:h val="0.53811424613589964"/>
        </c:manualLayout>
      </c:layout>
      <c:lineChart>
        <c:grouping val="standard"/>
        <c:varyColors val="0"/>
        <c:ser>
          <c:idx val="0"/>
          <c:order val="0"/>
          <c:tx>
            <c:strRef>
              <c:f>Raw_data!$M$25</c:f>
              <c:strCache>
                <c:ptCount val="1"/>
                <c:pt idx="0">
                  <c:v>Total</c:v>
                </c:pt>
              </c:strCache>
            </c:strRef>
          </c:tx>
          <c:spPr>
            <a:ln w="28575" cap="rnd">
              <a:solidFill>
                <a:schemeClr val="accent1"/>
              </a:solidFill>
              <a:round/>
            </a:ln>
            <a:effectLst/>
          </c:spPr>
          <c:marker>
            <c:symbol val="none"/>
          </c:marker>
          <c:cat>
            <c:strRef>
              <c:f>Raw_data!$L$26:$L$29</c:f>
              <c:strCache>
                <c:ptCount val="3"/>
                <c:pt idx="0">
                  <c:v>Jan</c:v>
                </c:pt>
                <c:pt idx="1">
                  <c:v>Feb</c:v>
                </c:pt>
                <c:pt idx="2">
                  <c:v>Mar</c:v>
                </c:pt>
              </c:strCache>
            </c:strRef>
          </c:cat>
          <c:val>
            <c:numRef>
              <c:f>Raw_data!$M$26:$M$29</c:f>
              <c:numCache>
                <c:formatCode>General</c:formatCode>
                <c:ptCount val="3"/>
                <c:pt idx="0">
                  <c:v>666800</c:v>
                </c:pt>
                <c:pt idx="1">
                  <c:v>528100</c:v>
                </c:pt>
                <c:pt idx="2">
                  <c:v>717000</c:v>
                </c:pt>
              </c:numCache>
            </c:numRef>
          </c:val>
          <c:smooth val="0"/>
          <c:extLst>
            <c:ext xmlns:c16="http://schemas.microsoft.com/office/drawing/2014/chart" uri="{C3380CC4-5D6E-409C-BE32-E72D297353CC}">
              <c16:uniqueId val="{00000000-204F-472A-A92A-D10B76744420}"/>
            </c:ext>
          </c:extLst>
        </c:ser>
        <c:dLbls>
          <c:showLegendKey val="0"/>
          <c:showVal val="0"/>
          <c:showCatName val="0"/>
          <c:showSerName val="0"/>
          <c:showPercent val="0"/>
          <c:showBubbleSize val="0"/>
        </c:dLbls>
        <c:smooth val="0"/>
        <c:axId val="2137701311"/>
        <c:axId val="2137706111"/>
      </c:lineChart>
      <c:catAx>
        <c:axId val="213770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06111"/>
        <c:crosses val="autoZero"/>
        <c:auto val="1"/>
        <c:lblAlgn val="ctr"/>
        <c:lblOffset val="100"/>
        <c:noMultiLvlLbl val="0"/>
      </c:catAx>
      <c:valAx>
        <c:axId val="213770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770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147320</xdr:rowOff>
    </xdr:from>
    <xdr:to>
      <xdr:col>6</xdr:col>
      <xdr:colOff>502920</xdr:colOff>
      <xdr:row>20</xdr:row>
      <xdr:rowOff>139700</xdr:rowOff>
    </xdr:to>
    <xdr:graphicFrame macro="">
      <xdr:nvGraphicFramePr>
        <xdr:cNvPr id="2" name="Chart 1">
          <a:extLst>
            <a:ext uri="{FF2B5EF4-FFF2-40B4-BE49-F238E27FC236}">
              <a16:creationId xmlns:a16="http://schemas.microsoft.com/office/drawing/2014/main" id="{2EDFFFAD-1C4F-30C6-59C8-9966231981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145415</xdr:colOff>
      <xdr:row>5</xdr:row>
      <xdr:rowOff>123825</xdr:rowOff>
    </xdr:from>
    <xdr:to>
      <xdr:col>13</xdr:col>
      <xdr:colOff>76834</xdr:colOff>
      <xdr:row>20</xdr:row>
      <xdr:rowOff>131445</xdr:rowOff>
    </xdr:to>
    <xdr:graphicFrame macro="">
      <xdr:nvGraphicFramePr>
        <xdr:cNvPr id="3" name="Chart 2">
          <a:extLst>
            <a:ext uri="{FF2B5EF4-FFF2-40B4-BE49-F238E27FC236}">
              <a16:creationId xmlns:a16="http://schemas.microsoft.com/office/drawing/2014/main" id="{F884BEAF-33C1-54BF-A6CE-03FF49990E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324485</xdr:colOff>
      <xdr:row>5</xdr:row>
      <xdr:rowOff>101600</xdr:rowOff>
    </xdr:from>
    <xdr:to>
      <xdr:col>21</xdr:col>
      <xdr:colOff>332105</xdr:colOff>
      <xdr:row>20</xdr:row>
      <xdr:rowOff>101600</xdr:rowOff>
    </xdr:to>
    <xdr:graphicFrame macro="">
      <xdr:nvGraphicFramePr>
        <xdr:cNvPr id="4" name="Chart 4">
          <a:extLst>
            <a:ext uri="{FF2B5EF4-FFF2-40B4-BE49-F238E27FC236}">
              <a16:creationId xmlns:a16="http://schemas.microsoft.com/office/drawing/2014/main" id="{40DBDAC4-45E8-8FC1-1D28-76E5ECD4E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88900</xdr:colOff>
      <xdr:row>25</xdr:row>
      <xdr:rowOff>127000</xdr:rowOff>
    </xdr:from>
    <xdr:to>
      <xdr:col>10</xdr:col>
      <xdr:colOff>111760</xdr:colOff>
      <xdr:row>34</xdr:row>
      <xdr:rowOff>132079</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31303D77-6E4A-48C1-B243-B901A0DD323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26562" y="4580247"/>
              <a:ext cx="1863536" cy="1845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269875</xdr:colOff>
      <xdr:row>25</xdr:row>
      <xdr:rowOff>120651</xdr:rowOff>
    </xdr:from>
    <xdr:to>
      <xdr:col>14</xdr:col>
      <xdr:colOff>224155</xdr:colOff>
      <xdr:row>34</xdr:row>
      <xdr:rowOff>128271</xdr:rowOff>
    </xdr:to>
    <mc:AlternateContent xmlns:mc="http://schemas.openxmlformats.org/markup-compatibility/2006">
      <mc:Choice xmlns:a14="http://schemas.microsoft.com/office/drawing/2010/main" Requires="a14">
        <xdr:graphicFrame macro="">
          <xdr:nvGraphicFramePr>
            <xdr:cNvPr id="6" name="Product">
              <a:extLst>
                <a:ext uri="{FF2B5EF4-FFF2-40B4-BE49-F238E27FC236}">
                  <a16:creationId xmlns:a16="http://schemas.microsoft.com/office/drawing/2014/main" id="{88322507-1AC8-4B7D-8F82-1D399D1371E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661771" y="4573898"/>
              <a:ext cx="1794955" cy="1848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161900</xdr:colOff>
      <xdr:row>0</xdr:row>
      <xdr:rowOff>121000</xdr:rowOff>
    </xdr:from>
    <xdr:to>
      <xdr:col>19</xdr:col>
      <xdr:colOff>415900</xdr:colOff>
      <xdr:row>4</xdr:row>
      <xdr:rowOff>44800</xdr:rowOff>
    </xdr:to>
    <xdr:sp macro="" textlink="">
      <xdr:nvSpPr>
        <xdr:cNvPr id="7" name="Rectangle 6">
          <a:extLst>
            <a:ext uri="{FF2B5EF4-FFF2-40B4-BE49-F238E27FC236}">
              <a16:creationId xmlns:a16="http://schemas.microsoft.com/office/drawing/2014/main" id="{131ED1ED-624A-E437-751F-B89E462DA64C}"/>
            </a:ext>
          </a:extLst>
        </xdr:cNvPr>
        <xdr:cNvSpPr/>
      </xdr:nvSpPr>
      <xdr:spPr>
        <a:xfrm>
          <a:off x="2441900" y="121000"/>
          <a:ext cx="11240000" cy="6438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3200" b="1">
              <a:solidFill>
                <a:schemeClr val="tx2"/>
              </a:solidFill>
            </a:rPr>
            <a:t>Sales Performance Database</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ridhi Bansal" refreshedDate="46030.958976504633" createdVersion="8" refreshedVersion="8" minRefreshableVersion="3" recordCount="30" xr:uid="{CD39642B-EE7E-4491-A311-0BF4E511672C}">
  <cacheSource type="worksheet">
    <worksheetSource ref="A1:I31" sheet="Raw_data"/>
  </cacheSource>
  <cacheFields count="10">
    <cacheField name="Order_date" numFmtId="14">
      <sharedItems containsSemiMixedTypes="0" containsNonDate="0" containsDate="1" containsString="0" minDate="2024-01-01T00:00:00" maxDate="2024-03-30T00:00:00" count="50">
        <d v="2024-01-05T00:00:00"/>
        <d v="2024-02-18T00:00:00"/>
        <d v="2024-03-11T00:00:00"/>
        <d v="2024-01-27T00:00:00"/>
        <d v="2024-02-09T00:00:00"/>
        <d v="2024-03-21T00:00:00"/>
        <d v="2024-01-14T00:00:00"/>
        <d v="2024-02-25T00:00:00"/>
        <d v="2024-03-03T00:00:00"/>
        <d v="2024-01-19T00:00:00"/>
        <d v="2024-02-07T00:00:00"/>
        <d v="2024-03-28T00:00:00"/>
        <d v="2024-01-12T00:00:00"/>
        <d v="2024-02-16T00:00:00"/>
        <d v="2024-03-24T00:00:00"/>
        <d v="2024-01-30T00:00:00"/>
        <d v="2024-03-05T00:00:00"/>
        <d v="2024-02-22T00:00:00"/>
        <d v="2024-01-09T00:00:00"/>
        <d v="2024-03-17T00:00:00"/>
        <d v="2024-02-26T00:00:00"/>
        <d v="2024-01-04T00:00:00"/>
        <d v="2024-03-13T00:00:00"/>
        <d v="2024-02-20T00:00:00"/>
        <d v="2024-01-08T00:00:00"/>
        <d v="2024-03-29T00:00:00"/>
        <d v="2024-02-15T00:00:00"/>
        <d v="2024-03-06T00:00:00"/>
        <d v="2024-01-23T00:00:00"/>
        <d v="2024-02-10T00:00:00"/>
        <d v="2024-01-01T00:00:00" u="1"/>
        <d v="2024-01-02T00:00:00" u="1"/>
        <d v="2024-01-03T00:00:00" u="1"/>
        <d v="2024-01-06T00:00:00" u="1"/>
        <d v="2024-01-07T00:00:00" u="1"/>
        <d v="2024-01-10T00:00:00" u="1"/>
        <d v="2024-01-11T00:00:00" u="1"/>
        <d v="2024-01-13T00:00:00" u="1"/>
        <d v="2024-01-15T00:00:00" u="1"/>
        <d v="2024-01-16T00:00:00" u="1"/>
        <d v="2024-01-17T00:00:00" u="1"/>
        <d v="2024-01-18T00:00:00" u="1"/>
        <d v="2024-01-20T00:00:00" u="1"/>
        <d v="2024-01-21T00:00:00" u="1"/>
        <d v="2024-01-22T00:00:00" u="1"/>
        <d v="2024-01-24T00:00:00" u="1"/>
        <d v="2024-01-25T00:00:00" u="1"/>
        <d v="2024-01-26T00:00:00" u="1"/>
        <d v="2024-01-28T00:00:00" u="1"/>
        <d v="2024-01-29T00:00:00" u="1"/>
      </sharedItems>
      <fieldGroup par="9"/>
    </cacheField>
    <cacheField name="Order_id" numFmtId="0">
      <sharedItems/>
    </cacheField>
    <cacheField name="Product" numFmtId="0">
      <sharedItems count="4">
        <s v="Laptop"/>
        <s v="Mobile"/>
        <s v="Headphones"/>
        <s v="Tablet"/>
      </sharedItems>
    </cacheField>
    <cacheField name="Category" numFmtId="0">
      <sharedItems/>
    </cacheField>
    <cacheField name="Region" numFmtId="0">
      <sharedItems count="4">
        <s v="North"/>
        <s v="South"/>
        <s v="East"/>
        <s v="West"/>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2800" maxValue="59000"/>
    </cacheField>
    <cacheField name="Sales" numFmtId="0">
      <sharedItems containsSemiMixedTypes="0" containsString="0" containsNumber="1" containsInteger="1" minValue="12800" maxValue="169500"/>
    </cacheField>
    <cacheField name="Profit" numFmtId="0">
      <sharedItems containsSemiMixedTypes="0" containsString="0" containsNumber="1" containsInteger="1" minValue="2560" maxValue="33900"/>
    </cacheField>
    <cacheField name="Months (Order_date)" numFmtId="0" databaseField="0">
      <fieldGroup base="0">
        <rangePr groupBy="months" startDate="2024-01-01T00:00:00" endDate="2024-03-30T00:00:00"/>
        <groupItems count="14">
          <s v="&lt;01-01-2024"/>
          <s v="Jan"/>
          <s v="Feb"/>
          <s v="Mar"/>
          <s v="Apr"/>
          <s v="May"/>
          <s v="Jun"/>
          <s v="Jul"/>
          <s v="Aug"/>
          <s v="Sep"/>
          <s v="Oct"/>
          <s v="Nov"/>
          <s v="Dec"/>
          <s v="&gt;30-03-2024"/>
        </groupItems>
      </fieldGroup>
    </cacheField>
  </cacheFields>
  <extLst>
    <ext xmlns:x14="http://schemas.microsoft.com/office/spreadsheetml/2009/9/main" uri="{725AE2AE-9491-48be-B2B4-4EB974FC3084}">
      <x14:pivotCacheDefinition pivotCacheId="11182350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x v="0"/>
    <s v="ORD001"/>
    <x v="0"/>
    <s v="Electronics"/>
    <x v="0"/>
    <n v="2"/>
    <n v="55000"/>
    <n v="110000"/>
    <n v="22000"/>
  </r>
  <r>
    <x v="1"/>
    <s v="ORD002"/>
    <x v="1"/>
    <s v="Electronics"/>
    <x v="1"/>
    <n v="3"/>
    <n v="25000"/>
    <n v="75000"/>
    <n v="15000"/>
  </r>
  <r>
    <x v="2"/>
    <s v="ORD003"/>
    <x v="2"/>
    <s v="Accessories"/>
    <x v="2"/>
    <n v="5"/>
    <n v="3000"/>
    <n v="15000"/>
    <n v="3000"/>
  </r>
  <r>
    <x v="3"/>
    <s v="ORD004"/>
    <x v="3"/>
    <s v="Electronics"/>
    <x v="3"/>
    <n v="1"/>
    <n v="35000"/>
    <n v="35000"/>
    <n v="7000"/>
  </r>
  <r>
    <x v="4"/>
    <s v="ORD005"/>
    <x v="0"/>
    <s v="Electronics"/>
    <x v="1"/>
    <n v="1"/>
    <n v="56000"/>
    <n v="56000"/>
    <n v="11200"/>
  </r>
  <r>
    <x v="5"/>
    <s v="ORD006"/>
    <x v="1"/>
    <s v="Electronics"/>
    <x v="0"/>
    <n v="4"/>
    <n v="24000"/>
    <n v="96000"/>
    <n v="19200"/>
  </r>
  <r>
    <x v="6"/>
    <s v="ORD007"/>
    <x v="2"/>
    <s v="Accessories"/>
    <x v="3"/>
    <n v="6"/>
    <n v="2800"/>
    <n v="16800"/>
    <n v="3360"/>
  </r>
  <r>
    <x v="7"/>
    <s v="ORD008"/>
    <x v="3"/>
    <s v="Electronics"/>
    <x v="2"/>
    <n v="2"/>
    <n v="36000"/>
    <n v="72000"/>
    <n v="14400"/>
  </r>
  <r>
    <x v="8"/>
    <s v="ORD009"/>
    <x v="0"/>
    <s v="Electronics"/>
    <x v="0"/>
    <n v="1"/>
    <n v="57000"/>
    <n v="57000"/>
    <n v="11400"/>
  </r>
  <r>
    <x v="9"/>
    <s v="ORD010"/>
    <x v="1"/>
    <s v="Electronics"/>
    <x v="3"/>
    <n v="2"/>
    <n v="26000"/>
    <n v="52000"/>
    <n v="10400"/>
  </r>
  <r>
    <x v="10"/>
    <s v="ORD011"/>
    <x v="2"/>
    <s v="Accessories"/>
    <x v="1"/>
    <n v="4"/>
    <n v="3200"/>
    <n v="12800"/>
    <n v="2560"/>
  </r>
  <r>
    <x v="11"/>
    <s v="ORD012"/>
    <x v="3"/>
    <s v="Electronics"/>
    <x v="0"/>
    <n v="3"/>
    <n v="34000"/>
    <n v="102000"/>
    <n v="20400"/>
  </r>
  <r>
    <x v="12"/>
    <s v="ORD013"/>
    <x v="0"/>
    <s v="Electronics"/>
    <x v="2"/>
    <n v="2"/>
    <n v="58000"/>
    <n v="116000"/>
    <n v="23200"/>
  </r>
  <r>
    <x v="13"/>
    <s v="ORD014"/>
    <x v="1"/>
    <s v="Electronics"/>
    <x v="1"/>
    <n v="1"/>
    <n v="25500"/>
    <n v="25500"/>
    <n v="5100"/>
  </r>
  <r>
    <x v="14"/>
    <s v="ORD015"/>
    <x v="2"/>
    <s v="Accessories"/>
    <x v="0"/>
    <n v="7"/>
    <n v="2900"/>
    <n v="20300"/>
    <n v="4060"/>
  </r>
  <r>
    <x v="15"/>
    <s v="ORD016"/>
    <x v="3"/>
    <s v="Electronics"/>
    <x v="3"/>
    <n v="2"/>
    <n v="35500"/>
    <n v="71000"/>
    <n v="14200"/>
  </r>
  <r>
    <x v="16"/>
    <s v="ORD017"/>
    <x v="0"/>
    <s v="Electronics"/>
    <x v="1"/>
    <n v="3"/>
    <n v="56500"/>
    <n v="169500"/>
    <n v="33900"/>
  </r>
  <r>
    <x v="17"/>
    <s v="ORD018"/>
    <x v="1"/>
    <s v="Electronics"/>
    <x v="2"/>
    <n v="2"/>
    <n v="24500"/>
    <n v="49000"/>
    <n v="9800"/>
  </r>
  <r>
    <x v="18"/>
    <s v="ORD019"/>
    <x v="2"/>
    <s v="Accessories"/>
    <x v="3"/>
    <n v="5"/>
    <n v="3100"/>
    <n v="15500"/>
    <n v="3100"/>
  </r>
  <r>
    <x v="19"/>
    <s v="ORD020"/>
    <x v="3"/>
    <s v="Electronics"/>
    <x v="0"/>
    <n v="1"/>
    <n v="34500"/>
    <n v="34500"/>
    <n v="6900"/>
  </r>
  <r>
    <x v="20"/>
    <s v="ORD021"/>
    <x v="0"/>
    <s v="Electronics"/>
    <x v="3"/>
    <n v="2"/>
    <n v="57500"/>
    <n v="115000"/>
    <n v="23000"/>
  </r>
  <r>
    <x v="21"/>
    <s v="ORD022"/>
    <x v="1"/>
    <s v="Electronics"/>
    <x v="1"/>
    <n v="3"/>
    <n v="26500"/>
    <n v="79500"/>
    <n v="15900"/>
  </r>
  <r>
    <x v="22"/>
    <s v="ORD023"/>
    <x v="2"/>
    <s v="Accessories"/>
    <x v="2"/>
    <n v="6"/>
    <n v="2950"/>
    <n v="17700"/>
    <n v="3540"/>
  </r>
  <r>
    <x v="23"/>
    <s v="ORD024"/>
    <x v="3"/>
    <s v="Electronics"/>
    <x v="1"/>
    <n v="2"/>
    <n v="36500"/>
    <n v="73000"/>
    <n v="14600"/>
  </r>
  <r>
    <x v="24"/>
    <s v="ORD025"/>
    <x v="0"/>
    <s v="Electronics"/>
    <x v="0"/>
    <n v="1"/>
    <n v="59000"/>
    <n v="59000"/>
    <n v="11800"/>
  </r>
  <r>
    <x v="25"/>
    <s v="ORD026"/>
    <x v="1"/>
    <s v="Electronics"/>
    <x v="3"/>
    <n v="4"/>
    <n v="25000"/>
    <n v="100000"/>
    <n v="20000"/>
  </r>
  <r>
    <x v="26"/>
    <s v="ORD027"/>
    <x v="2"/>
    <s v="Accessories"/>
    <x v="0"/>
    <n v="8"/>
    <n v="2850"/>
    <n v="22800"/>
    <n v="4560"/>
  </r>
  <r>
    <x v="27"/>
    <s v="ORD028"/>
    <x v="3"/>
    <s v="Electronics"/>
    <x v="2"/>
    <n v="3"/>
    <n v="35000"/>
    <n v="105000"/>
    <n v="21000"/>
  </r>
  <r>
    <x v="28"/>
    <s v="ORD029"/>
    <x v="0"/>
    <s v="Electronics"/>
    <x v="1"/>
    <n v="2"/>
    <n v="56000"/>
    <n v="112000"/>
    <n v="22400"/>
  </r>
  <r>
    <x v="29"/>
    <s v="ORD030"/>
    <x v="1"/>
    <s v="Electronics"/>
    <x v="0"/>
    <n v="1"/>
    <n v="27000"/>
    <n v="27000"/>
    <n v="54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445388-F888-4B15-9A16-AE9E3272066C}" name="Top_2_products_by_sales"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4:M39" firstHeaderRow="1" firstDataRow="1" firstDataCol="1"/>
  <pivotFields count="10">
    <pivotField numFmtId="14" showAll="0">
      <items count="51">
        <item m="1" x="30"/>
        <item m="1" x="31"/>
        <item m="1" x="32"/>
        <item x="21"/>
        <item x="0"/>
        <item m="1" x="33"/>
        <item m="1" x="34"/>
        <item x="24"/>
        <item x="18"/>
        <item m="1" x="35"/>
        <item m="1" x="36"/>
        <item x="12"/>
        <item m="1" x="37"/>
        <item x="6"/>
        <item m="1" x="38"/>
        <item m="1" x="39"/>
        <item m="1" x="40"/>
        <item m="1" x="41"/>
        <item x="9"/>
        <item m="1" x="42"/>
        <item m="1" x="43"/>
        <item m="1" x="44"/>
        <item x="28"/>
        <item m="1" x="45"/>
        <item m="1" x="46"/>
        <item m="1" x="47"/>
        <item x="3"/>
        <item m="1" x="48"/>
        <item m="1" x="49"/>
        <item x="15"/>
        <item x="10"/>
        <item x="4"/>
        <item x="29"/>
        <item x="26"/>
        <item x="13"/>
        <item x="1"/>
        <item x="23"/>
        <item x="17"/>
        <item x="7"/>
        <item x="20"/>
        <item x="8"/>
        <item x="16"/>
        <item x="27"/>
        <item x="2"/>
        <item x="22"/>
        <item x="19"/>
        <item x="5"/>
        <item x="14"/>
        <item x="11"/>
        <item x="25"/>
        <item t="default"/>
      </items>
    </pivotField>
    <pivotField showAll="0"/>
    <pivotField axis="axisRow" showAll="0">
      <items count="5">
        <item x="2"/>
        <item x="0"/>
        <item x="1"/>
        <item x="3"/>
        <item t="default"/>
      </items>
    </pivotField>
    <pivotField showAll="0"/>
    <pivotField showAll="0">
      <items count="5">
        <item x="2"/>
        <item x="0"/>
        <item x="1"/>
        <item x="3"/>
        <item t="default"/>
      </items>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7FA8E7-516E-4B72-B7E7-6EB491403BFE}" name="Monthly_sales_trend"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25:M29" firstHeaderRow="1" firstDataRow="1" firstDataCol="1"/>
  <pivotFields count="10">
    <pivotField numFmtId="14" showAll="0">
      <items count="51">
        <item m="1" x="30"/>
        <item m="1" x="31"/>
        <item m="1" x="32"/>
        <item x="21"/>
        <item x="0"/>
        <item m="1" x="33"/>
        <item m="1" x="34"/>
        <item x="24"/>
        <item x="18"/>
        <item m="1" x="35"/>
        <item m="1" x="36"/>
        <item x="12"/>
        <item m="1" x="37"/>
        <item x="6"/>
        <item m="1" x="38"/>
        <item m="1" x="39"/>
        <item m="1" x="40"/>
        <item m="1" x="41"/>
        <item x="9"/>
        <item m="1" x="42"/>
        <item m="1" x="43"/>
        <item m="1" x="44"/>
        <item x="28"/>
        <item m="1" x="45"/>
        <item m="1" x="46"/>
        <item m="1" x="47"/>
        <item x="3"/>
        <item m="1" x="48"/>
        <item m="1" x="49"/>
        <item x="15"/>
        <item x="10"/>
        <item x="4"/>
        <item x="29"/>
        <item x="26"/>
        <item x="13"/>
        <item x="1"/>
        <item x="23"/>
        <item x="17"/>
        <item x="7"/>
        <item x="20"/>
        <item x="8"/>
        <item x="16"/>
        <item x="27"/>
        <item x="2"/>
        <item x="22"/>
        <item x="19"/>
        <item x="5"/>
        <item x="14"/>
        <item x="11"/>
        <item x="25"/>
        <item t="default"/>
      </items>
    </pivotField>
    <pivotField showAll="0"/>
    <pivotField showAll="0">
      <items count="5">
        <item x="2"/>
        <item x="0"/>
        <item x="1"/>
        <item x="3"/>
        <item t="default"/>
      </items>
    </pivotField>
    <pivotField showAll="0"/>
    <pivotField showAll="0">
      <items count="5">
        <item x="2"/>
        <item x="0"/>
        <item x="1"/>
        <item x="3"/>
        <item t="default"/>
      </items>
    </pivotField>
    <pivotField showAll="0"/>
    <pivotField showAll="0"/>
    <pivotField dataField="1" showAll="0"/>
    <pivotField showAll="0"/>
    <pivotField axis="axisRow" showAll="0">
      <items count="15">
        <item x="0"/>
        <item x="1"/>
        <item x="2"/>
        <item x="3"/>
        <item x="4"/>
        <item x="5"/>
        <item x="6"/>
        <item x="7"/>
        <item x="8"/>
        <item x="9"/>
        <item x="10"/>
        <item x="11"/>
        <item x="12"/>
        <item x="13"/>
        <item t="default"/>
      </items>
    </pivotField>
  </pivotFields>
  <rowFields count="1">
    <field x="9"/>
  </rowFields>
  <rowItems count="4">
    <i>
      <x v="1"/>
    </i>
    <i>
      <x v="2"/>
    </i>
    <i>
      <x v="3"/>
    </i>
    <i t="grand">
      <x/>
    </i>
  </rowItems>
  <colItems count="1">
    <i/>
  </colItems>
  <dataFields count="1">
    <dataField name="Sum of Sales" fld="7" baseField="0" baseItem="0"/>
  </dataFields>
  <chartFormats count="1">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DEA24C-C81A-4AC8-BE14-B05EBAB1933E}" name="Profit_by_Product"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15:M20" firstHeaderRow="1" firstDataRow="1" firstDataCol="1"/>
  <pivotFields count="10">
    <pivotField numFmtId="14" showAll="0">
      <items count="51">
        <item m="1" x="30"/>
        <item m="1" x="31"/>
        <item m="1" x="32"/>
        <item x="21"/>
        <item x="0"/>
        <item m="1" x="33"/>
        <item m="1" x="34"/>
        <item x="24"/>
        <item x="18"/>
        <item m="1" x="35"/>
        <item m="1" x="36"/>
        <item x="12"/>
        <item m="1" x="37"/>
        <item x="6"/>
        <item m="1" x="38"/>
        <item m="1" x="39"/>
        <item m="1" x="40"/>
        <item m="1" x="41"/>
        <item x="9"/>
        <item m="1" x="42"/>
        <item m="1" x="43"/>
        <item m="1" x="44"/>
        <item x="28"/>
        <item m="1" x="45"/>
        <item m="1" x="46"/>
        <item m="1" x="47"/>
        <item x="3"/>
        <item m="1" x="48"/>
        <item m="1" x="49"/>
        <item x="15"/>
        <item x="10"/>
        <item x="4"/>
        <item x="29"/>
        <item x="26"/>
        <item x="13"/>
        <item x="1"/>
        <item x="23"/>
        <item x="17"/>
        <item x="7"/>
        <item x="20"/>
        <item x="8"/>
        <item x="16"/>
        <item x="27"/>
        <item x="2"/>
        <item x="22"/>
        <item x="19"/>
        <item x="5"/>
        <item x="14"/>
        <item x="11"/>
        <item x="25"/>
        <item t="default"/>
      </items>
    </pivotField>
    <pivotField showAll="0"/>
    <pivotField axis="axisRow" showAll="0">
      <items count="5">
        <item x="2"/>
        <item x="0"/>
        <item x="1"/>
        <item x="3"/>
        <item t="default"/>
      </items>
    </pivotField>
    <pivotField showAll="0"/>
    <pivotField showAll="0">
      <items count="5">
        <item x="2"/>
        <item x="0"/>
        <item x="1"/>
        <item x="3"/>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8" baseField="0" baseItem="0"/>
  </dataField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937D44-A75B-4B99-AFDE-E2403FC46C6B}" name="Sales_by_region"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L4:M9" firstHeaderRow="1" firstDataRow="1" firstDataCol="1"/>
  <pivotFields count="10">
    <pivotField numFmtId="14" showAll="0">
      <items count="51">
        <item m="1" x="30"/>
        <item m="1" x="31"/>
        <item m="1" x="32"/>
        <item x="21"/>
        <item x="0"/>
        <item m="1" x="33"/>
        <item m="1" x="34"/>
        <item x="24"/>
        <item x="18"/>
        <item m="1" x="35"/>
        <item m="1" x="36"/>
        <item x="12"/>
        <item m="1" x="37"/>
        <item x="6"/>
        <item m="1" x="38"/>
        <item m="1" x="39"/>
        <item m="1" x="40"/>
        <item m="1" x="41"/>
        <item x="9"/>
        <item m="1" x="42"/>
        <item m="1" x="43"/>
        <item m="1" x="44"/>
        <item x="28"/>
        <item m="1" x="45"/>
        <item m="1" x="46"/>
        <item m="1" x="47"/>
        <item x="3"/>
        <item m="1" x="48"/>
        <item m="1" x="49"/>
        <item x="15"/>
        <item x="10"/>
        <item x="4"/>
        <item x="29"/>
        <item x="26"/>
        <item x="13"/>
        <item x="1"/>
        <item x="23"/>
        <item x="17"/>
        <item x="7"/>
        <item x="20"/>
        <item x="8"/>
        <item x="16"/>
        <item x="27"/>
        <item x="2"/>
        <item x="22"/>
        <item x="19"/>
        <item x="5"/>
        <item x="14"/>
        <item x="11"/>
        <item x="25"/>
        <item t="default"/>
      </items>
    </pivotField>
    <pivotField showAll="0"/>
    <pivotField showAll="0">
      <items count="5">
        <item x="2"/>
        <item x="0"/>
        <item x="1"/>
        <item x="3"/>
        <item t="default"/>
      </items>
    </pivotField>
    <pivotField showAll="0"/>
    <pivotField axis="axisRow" showAll="0">
      <items count="5">
        <item x="2"/>
        <item x="0"/>
        <item x="1"/>
        <item x="3"/>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7" baseField="0" baseItem="0"/>
  </dataFields>
  <chartFormats count="1">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1F07B6B-35FF-4E62-9BBD-86925DC43426}" sourceName="Region">
  <pivotTables>
    <pivotTable tabId="1" name="Sales_by_region"/>
    <pivotTable tabId="1" name="Monthly_sales_trend"/>
    <pivotTable tabId="1" name="Profit_by_Product"/>
    <pivotTable tabId="1" name="Top_2_products_by_sales"/>
  </pivotTables>
  <data>
    <tabular pivotCacheId="111823500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22388D2-5634-4150-9EF0-19225ADA36E7}" sourceName="Product">
  <pivotTables>
    <pivotTable tabId="1" name="Sales_by_region"/>
    <pivotTable tabId="1" name="Monthly_sales_trend"/>
    <pivotTable tabId="1" name="Profit_by_Product"/>
    <pivotTable tabId="1" name="Top_2_products_by_sales"/>
  </pivotTables>
  <data>
    <tabular pivotCacheId="111823500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82C781-059C-481D-A1FA-ECBBE03B153F}" cache="Slicer_Region" caption="Region" rowHeight="247650"/>
  <slicer name="Product" xr10:uid="{ADB3E7B7-644A-4CA5-A662-DCF73AC5E216}"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D971F-E48D-4C73-9630-224425DB34AF}">
  <dimension ref="A1:M39"/>
  <sheetViews>
    <sheetView topLeftCell="D1" zoomScale="63" zoomScaleNormal="63" workbookViewId="0">
      <selection activeCell="R28" sqref="R28"/>
    </sheetView>
  </sheetViews>
  <sheetFormatPr defaultRowHeight="14.4" x14ac:dyDescent="0.3"/>
  <cols>
    <col min="1" max="1" width="11.77734375" customWidth="1"/>
    <col min="2" max="2" width="8.44140625" style="9" bestFit="1" customWidth="1"/>
    <col min="3" max="3" width="11.77734375" bestFit="1" customWidth="1"/>
    <col min="4" max="4" width="11.21875" bestFit="1" customWidth="1"/>
    <col min="5" max="5" width="7.109375" bestFit="1" customWidth="1"/>
    <col min="6" max="6" width="8.44140625" bestFit="1" customWidth="1"/>
    <col min="7" max="7" width="9.88671875" bestFit="1" customWidth="1"/>
    <col min="8" max="8" width="7" bestFit="1" customWidth="1"/>
    <col min="11" max="11" width="13.5546875" bestFit="1" customWidth="1"/>
    <col min="12" max="12" width="14.5546875" bestFit="1" customWidth="1"/>
    <col min="13" max="13" width="12.33203125" bestFit="1" customWidth="1"/>
  </cols>
  <sheetData>
    <row r="1" spans="1:13" x14ac:dyDescent="0.3">
      <c r="A1" s="1" t="s">
        <v>0</v>
      </c>
      <c r="B1" s="2" t="s">
        <v>1</v>
      </c>
      <c r="C1" s="2" t="s">
        <v>2</v>
      </c>
      <c r="D1" s="2" t="s">
        <v>3</v>
      </c>
      <c r="E1" s="2" t="s">
        <v>4</v>
      </c>
      <c r="F1" s="3" t="s">
        <v>5</v>
      </c>
      <c r="G1" s="4" t="s">
        <v>6</v>
      </c>
      <c r="H1" s="4" t="s">
        <v>7</v>
      </c>
      <c r="I1" s="4" t="s">
        <v>8</v>
      </c>
    </row>
    <row r="2" spans="1:13" x14ac:dyDescent="0.3">
      <c r="A2" s="8">
        <v>45296</v>
      </c>
      <c r="B2" s="8" t="s">
        <v>9</v>
      </c>
      <c r="C2" s="9" t="s">
        <v>39</v>
      </c>
      <c r="D2" s="9" t="s">
        <v>43</v>
      </c>
      <c r="E2" s="9" t="s">
        <v>45</v>
      </c>
      <c r="F2" s="9">
        <v>2</v>
      </c>
      <c r="G2" s="9">
        <v>55000</v>
      </c>
      <c r="H2" s="9">
        <f>F2*G2</f>
        <v>110000</v>
      </c>
      <c r="I2" s="9">
        <f>H2*0.2</f>
        <v>22000</v>
      </c>
    </row>
    <row r="3" spans="1:13" x14ac:dyDescent="0.3">
      <c r="A3" s="8">
        <v>45340</v>
      </c>
      <c r="B3" s="9" t="s">
        <v>10</v>
      </c>
      <c r="C3" s="9" t="s">
        <v>40</v>
      </c>
      <c r="D3" s="9" t="s">
        <v>43</v>
      </c>
      <c r="E3" s="9" t="s">
        <v>46</v>
      </c>
      <c r="F3" s="9">
        <v>3</v>
      </c>
      <c r="G3" s="9">
        <v>25000</v>
      </c>
      <c r="H3" s="9">
        <f t="shared" ref="H3:H31" si="0">F3*G3</f>
        <v>75000</v>
      </c>
      <c r="I3" s="9">
        <f t="shared" ref="I3:I31" si="1">H3*0.2</f>
        <v>15000</v>
      </c>
    </row>
    <row r="4" spans="1:13" x14ac:dyDescent="0.3">
      <c r="A4" s="8">
        <v>45362</v>
      </c>
      <c r="B4" s="9" t="s">
        <v>11</v>
      </c>
      <c r="C4" s="9" t="s">
        <v>41</v>
      </c>
      <c r="D4" s="9" t="s">
        <v>44</v>
      </c>
      <c r="E4" s="9" t="s">
        <v>47</v>
      </c>
      <c r="F4" s="9">
        <v>5</v>
      </c>
      <c r="G4" s="9">
        <v>3000</v>
      </c>
      <c r="H4" s="9">
        <f t="shared" si="0"/>
        <v>15000</v>
      </c>
      <c r="I4" s="9">
        <f t="shared" si="1"/>
        <v>3000</v>
      </c>
      <c r="L4" s="5" t="s">
        <v>49</v>
      </c>
      <c r="M4" t="s">
        <v>51</v>
      </c>
    </row>
    <row r="5" spans="1:13" x14ac:dyDescent="0.3">
      <c r="A5" s="8">
        <v>45318</v>
      </c>
      <c r="B5" s="9" t="s">
        <v>12</v>
      </c>
      <c r="C5" s="9" t="s">
        <v>42</v>
      </c>
      <c r="D5" s="9" t="s">
        <v>43</v>
      </c>
      <c r="E5" s="9" t="s">
        <v>48</v>
      </c>
      <c r="F5" s="9">
        <v>1</v>
      </c>
      <c r="G5" s="9">
        <v>35000</v>
      </c>
      <c r="H5" s="9">
        <f t="shared" si="0"/>
        <v>35000</v>
      </c>
      <c r="I5" s="9">
        <f t="shared" si="1"/>
        <v>7000</v>
      </c>
      <c r="L5" s="6" t="s">
        <v>47</v>
      </c>
      <c r="M5" s="7">
        <v>374700</v>
      </c>
    </row>
    <row r="6" spans="1:13" x14ac:dyDescent="0.3">
      <c r="A6" s="8">
        <v>45331</v>
      </c>
      <c r="B6" s="9" t="s">
        <v>13</v>
      </c>
      <c r="C6" s="9" t="s">
        <v>39</v>
      </c>
      <c r="D6" s="9" t="s">
        <v>43</v>
      </c>
      <c r="E6" s="9" t="s">
        <v>46</v>
      </c>
      <c r="F6" s="9">
        <v>1</v>
      </c>
      <c r="G6" s="9">
        <v>56000</v>
      </c>
      <c r="H6" s="9">
        <f t="shared" si="0"/>
        <v>56000</v>
      </c>
      <c r="I6" s="9">
        <f t="shared" si="1"/>
        <v>11200</v>
      </c>
      <c r="L6" s="6" t="s">
        <v>45</v>
      </c>
      <c r="M6" s="7">
        <v>528600</v>
      </c>
    </row>
    <row r="7" spans="1:13" x14ac:dyDescent="0.3">
      <c r="A7" s="8">
        <v>45372</v>
      </c>
      <c r="B7" s="9" t="s">
        <v>14</v>
      </c>
      <c r="C7" s="9" t="s">
        <v>40</v>
      </c>
      <c r="D7" s="9" t="s">
        <v>43</v>
      </c>
      <c r="E7" s="9" t="s">
        <v>45</v>
      </c>
      <c r="F7" s="9">
        <v>4</v>
      </c>
      <c r="G7" s="9">
        <v>24000</v>
      </c>
      <c r="H7" s="9">
        <f t="shared" si="0"/>
        <v>96000</v>
      </c>
      <c r="I7" s="9">
        <f t="shared" si="1"/>
        <v>19200</v>
      </c>
      <c r="L7" s="6" t="s">
        <v>46</v>
      </c>
      <c r="M7" s="7">
        <v>603300</v>
      </c>
    </row>
    <row r="8" spans="1:13" x14ac:dyDescent="0.3">
      <c r="A8" s="8">
        <v>45305</v>
      </c>
      <c r="B8" s="9" t="s">
        <v>15</v>
      </c>
      <c r="C8" s="9" t="s">
        <v>41</v>
      </c>
      <c r="D8" s="9" t="s">
        <v>44</v>
      </c>
      <c r="E8" s="9" t="s">
        <v>48</v>
      </c>
      <c r="F8" s="9">
        <v>6</v>
      </c>
      <c r="G8" s="9">
        <v>2800</v>
      </c>
      <c r="H8" s="9">
        <f t="shared" si="0"/>
        <v>16800</v>
      </c>
      <c r="I8" s="9">
        <f t="shared" si="1"/>
        <v>3360</v>
      </c>
      <c r="L8" s="6" t="s">
        <v>48</v>
      </c>
      <c r="M8" s="7">
        <v>405300</v>
      </c>
    </row>
    <row r="9" spans="1:13" x14ac:dyDescent="0.3">
      <c r="A9" s="8">
        <v>45347</v>
      </c>
      <c r="B9" s="9" t="s">
        <v>16</v>
      </c>
      <c r="C9" s="9" t="s">
        <v>42</v>
      </c>
      <c r="D9" s="9" t="s">
        <v>43</v>
      </c>
      <c r="E9" s="9" t="s">
        <v>47</v>
      </c>
      <c r="F9" s="9">
        <v>2</v>
      </c>
      <c r="G9" s="9">
        <v>36000</v>
      </c>
      <c r="H9" s="9">
        <f t="shared" si="0"/>
        <v>72000</v>
      </c>
      <c r="I9" s="9">
        <f t="shared" si="1"/>
        <v>14400</v>
      </c>
      <c r="L9" s="6" t="s">
        <v>50</v>
      </c>
      <c r="M9" s="7">
        <v>1911900</v>
      </c>
    </row>
    <row r="10" spans="1:13" x14ac:dyDescent="0.3">
      <c r="A10" s="8">
        <v>45354</v>
      </c>
      <c r="B10" s="9" t="s">
        <v>17</v>
      </c>
      <c r="C10" s="9" t="s">
        <v>39</v>
      </c>
      <c r="D10" s="9" t="s">
        <v>43</v>
      </c>
      <c r="E10" s="9" t="s">
        <v>45</v>
      </c>
      <c r="F10" s="9">
        <v>1</v>
      </c>
      <c r="G10" s="9">
        <v>57000</v>
      </c>
      <c r="H10" s="9">
        <f t="shared" si="0"/>
        <v>57000</v>
      </c>
      <c r="I10" s="9">
        <f t="shared" si="1"/>
        <v>11400</v>
      </c>
    </row>
    <row r="11" spans="1:13" x14ac:dyDescent="0.3">
      <c r="A11" s="8">
        <v>45310</v>
      </c>
      <c r="B11" s="9" t="s">
        <v>18</v>
      </c>
      <c r="C11" s="9" t="s">
        <v>40</v>
      </c>
      <c r="D11" s="9" t="s">
        <v>43</v>
      </c>
      <c r="E11" s="9" t="s">
        <v>48</v>
      </c>
      <c r="F11" s="9">
        <v>2</v>
      </c>
      <c r="G11" s="9">
        <v>26000</v>
      </c>
      <c r="H11" s="9">
        <f t="shared" si="0"/>
        <v>52000</v>
      </c>
      <c r="I11" s="9">
        <f t="shared" si="1"/>
        <v>10400</v>
      </c>
    </row>
    <row r="12" spans="1:13" x14ac:dyDescent="0.3">
      <c r="A12" s="8">
        <v>45329</v>
      </c>
      <c r="B12" s="9" t="s">
        <v>19</v>
      </c>
      <c r="C12" s="9" t="s">
        <v>41</v>
      </c>
      <c r="D12" s="9" t="s">
        <v>44</v>
      </c>
      <c r="E12" s="9" t="s">
        <v>46</v>
      </c>
      <c r="F12" s="9">
        <v>4</v>
      </c>
      <c r="G12" s="9">
        <v>3200</v>
      </c>
      <c r="H12" s="9">
        <f t="shared" si="0"/>
        <v>12800</v>
      </c>
      <c r="I12" s="9">
        <f t="shared" si="1"/>
        <v>2560</v>
      </c>
    </row>
    <row r="13" spans="1:13" x14ac:dyDescent="0.3">
      <c r="A13" s="8">
        <v>45379</v>
      </c>
      <c r="B13" s="9" t="s">
        <v>20</v>
      </c>
      <c r="C13" s="9" t="s">
        <v>42</v>
      </c>
      <c r="D13" s="9" t="s">
        <v>43</v>
      </c>
      <c r="E13" s="9" t="s">
        <v>45</v>
      </c>
      <c r="F13" s="9">
        <v>3</v>
      </c>
      <c r="G13" s="9">
        <v>34000</v>
      </c>
      <c r="H13" s="9">
        <f t="shared" si="0"/>
        <v>102000</v>
      </c>
      <c r="I13" s="9">
        <f t="shared" si="1"/>
        <v>20400</v>
      </c>
    </row>
    <row r="14" spans="1:13" x14ac:dyDescent="0.3">
      <c r="A14" s="8">
        <v>45303</v>
      </c>
      <c r="B14" s="9" t="s">
        <v>21</v>
      </c>
      <c r="C14" s="9" t="s">
        <v>39</v>
      </c>
      <c r="D14" s="9" t="s">
        <v>43</v>
      </c>
      <c r="E14" s="9" t="s">
        <v>47</v>
      </c>
      <c r="F14" s="9">
        <v>2</v>
      </c>
      <c r="G14" s="9">
        <v>58000</v>
      </c>
      <c r="H14" s="9">
        <f t="shared" si="0"/>
        <v>116000</v>
      </c>
      <c r="I14" s="9">
        <f t="shared" si="1"/>
        <v>23200</v>
      </c>
    </row>
    <row r="15" spans="1:13" x14ac:dyDescent="0.3">
      <c r="A15" s="8">
        <v>45338</v>
      </c>
      <c r="B15" s="9" t="s">
        <v>22</v>
      </c>
      <c r="C15" s="9" t="s">
        <v>40</v>
      </c>
      <c r="D15" s="9" t="s">
        <v>43</v>
      </c>
      <c r="E15" s="9" t="s">
        <v>46</v>
      </c>
      <c r="F15" s="9">
        <v>1</v>
      </c>
      <c r="G15" s="9">
        <v>25500</v>
      </c>
      <c r="H15" s="9">
        <f t="shared" si="0"/>
        <v>25500</v>
      </c>
      <c r="I15" s="9">
        <f t="shared" si="1"/>
        <v>5100</v>
      </c>
      <c r="L15" s="5" t="s">
        <v>49</v>
      </c>
      <c r="M15" t="s">
        <v>52</v>
      </c>
    </row>
    <row r="16" spans="1:13" x14ac:dyDescent="0.3">
      <c r="A16" s="8">
        <v>45375</v>
      </c>
      <c r="B16" s="9" t="s">
        <v>23</v>
      </c>
      <c r="C16" s="9" t="s">
        <v>41</v>
      </c>
      <c r="D16" s="9" t="s">
        <v>44</v>
      </c>
      <c r="E16" s="9" t="s">
        <v>45</v>
      </c>
      <c r="F16" s="9">
        <v>7</v>
      </c>
      <c r="G16" s="9">
        <v>2900</v>
      </c>
      <c r="H16" s="9">
        <f t="shared" si="0"/>
        <v>20300</v>
      </c>
      <c r="I16" s="9">
        <f t="shared" si="1"/>
        <v>4060</v>
      </c>
      <c r="L16" s="6" t="s">
        <v>41</v>
      </c>
      <c r="M16" s="7">
        <v>24180</v>
      </c>
    </row>
    <row r="17" spans="1:13" x14ac:dyDescent="0.3">
      <c r="A17" s="8">
        <v>45321</v>
      </c>
      <c r="B17" s="9" t="s">
        <v>24</v>
      </c>
      <c r="C17" s="9" t="s">
        <v>42</v>
      </c>
      <c r="D17" s="9" t="s">
        <v>43</v>
      </c>
      <c r="E17" s="9" t="s">
        <v>48</v>
      </c>
      <c r="F17" s="9">
        <v>2</v>
      </c>
      <c r="G17" s="9">
        <v>35500</v>
      </c>
      <c r="H17" s="9">
        <f t="shared" si="0"/>
        <v>71000</v>
      </c>
      <c r="I17" s="9">
        <f t="shared" si="1"/>
        <v>14200</v>
      </c>
      <c r="L17" s="6" t="s">
        <v>39</v>
      </c>
      <c r="M17" s="7">
        <v>158900</v>
      </c>
    </row>
    <row r="18" spans="1:13" x14ac:dyDescent="0.3">
      <c r="A18" s="8">
        <v>45356</v>
      </c>
      <c r="B18" s="9" t="s">
        <v>25</v>
      </c>
      <c r="C18" s="9" t="s">
        <v>39</v>
      </c>
      <c r="D18" s="9" t="s">
        <v>43</v>
      </c>
      <c r="E18" s="9" t="s">
        <v>46</v>
      </c>
      <c r="F18" s="9">
        <v>3</v>
      </c>
      <c r="G18" s="9">
        <v>56500</v>
      </c>
      <c r="H18" s="9">
        <f t="shared" si="0"/>
        <v>169500</v>
      </c>
      <c r="I18" s="9">
        <f t="shared" si="1"/>
        <v>33900</v>
      </c>
      <c r="L18" s="6" t="s">
        <v>40</v>
      </c>
      <c r="M18" s="7">
        <v>100800</v>
      </c>
    </row>
    <row r="19" spans="1:13" x14ac:dyDescent="0.3">
      <c r="A19" s="8">
        <v>45344</v>
      </c>
      <c r="B19" s="9" t="s">
        <v>26</v>
      </c>
      <c r="C19" s="9" t="s">
        <v>40</v>
      </c>
      <c r="D19" s="9" t="s">
        <v>43</v>
      </c>
      <c r="E19" s="9" t="s">
        <v>47</v>
      </c>
      <c r="F19" s="9">
        <v>2</v>
      </c>
      <c r="G19" s="9">
        <v>24500</v>
      </c>
      <c r="H19" s="9">
        <f t="shared" si="0"/>
        <v>49000</v>
      </c>
      <c r="I19" s="9">
        <f t="shared" si="1"/>
        <v>9800</v>
      </c>
      <c r="L19" s="6" t="s">
        <v>42</v>
      </c>
      <c r="M19" s="7">
        <v>98500</v>
      </c>
    </row>
    <row r="20" spans="1:13" x14ac:dyDescent="0.3">
      <c r="A20" s="8">
        <v>45300</v>
      </c>
      <c r="B20" s="9" t="s">
        <v>27</v>
      </c>
      <c r="C20" s="9" t="s">
        <v>41</v>
      </c>
      <c r="D20" s="9" t="s">
        <v>44</v>
      </c>
      <c r="E20" s="9" t="s">
        <v>48</v>
      </c>
      <c r="F20" s="9">
        <v>5</v>
      </c>
      <c r="G20" s="9">
        <v>3100</v>
      </c>
      <c r="H20" s="9">
        <f t="shared" si="0"/>
        <v>15500</v>
      </c>
      <c r="I20" s="9">
        <f t="shared" si="1"/>
        <v>3100</v>
      </c>
      <c r="L20" s="6" t="s">
        <v>50</v>
      </c>
      <c r="M20" s="7">
        <v>382380</v>
      </c>
    </row>
    <row r="21" spans="1:13" x14ac:dyDescent="0.3">
      <c r="A21" s="8">
        <v>45368</v>
      </c>
      <c r="B21" s="9" t="s">
        <v>28</v>
      </c>
      <c r="C21" s="9" t="s">
        <v>42</v>
      </c>
      <c r="D21" s="9" t="s">
        <v>43</v>
      </c>
      <c r="E21" s="9" t="s">
        <v>45</v>
      </c>
      <c r="F21" s="9">
        <v>1</v>
      </c>
      <c r="G21" s="9">
        <v>34500</v>
      </c>
      <c r="H21" s="9">
        <f t="shared" si="0"/>
        <v>34500</v>
      </c>
      <c r="I21" s="9">
        <f t="shared" si="1"/>
        <v>6900</v>
      </c>
    </row>
    <row r="22" spans="1:13" x14ac:dyDescent="0.3">
      <c r="A22" s="8">
        <v>45348</v>
      </c>
      <c r="B22" s="9" t="s">
        <v>29</v>
      </c>
      <c r="C22" s="9" t="s">
        <v>39</v>
      </c>
      <c r="D22" s="9" t="s">
        <v>43</v>
      </c>
      <c r="E22" s="9" t="s">
        <v>48</v>
      </c>
      <c r="F22" s="9">
        <v>2</v>
      </c>
      <c r="G22" s="9">
        <v>57500</v>
      </c>
      <c r="H22" s="9">
        <f t="shared" si="0"/>
        <v>115000</v>
      </c>
      <c r="I22" s="9">
        <f t="shared" si="1"/>
        <v>23000</v>
      </c>
    </row>
    <row r="23" spans="1:13" x14ac:dyDescent="0.3">
      <c r="A23" s="8">
        <v>45295</v>
      </c>
      <c r="B23" s="9" t="s">
        <v>30</v>
      </c>
      <c r="C23" s="9" t="s">
        <v>40</v>
      </c>
      <c r="D23" s="9" t="s">
        <v>43</v>
      </c>
      <c r="E23" s="9" t="s">
        <v>46</v>
      </c>
      <c r="F23" s="9">
        <v>3</v>
      </c>
      <c r="G23" s="9">
        <v>26500</v>
      </c>
      <c r="H23" s="9">
        <f t="shared" si="0"/>
        <v>79500</v>
      </c>
      <c r="I23" s="9">
        <f t="shared" si="1"/>
        <v>15900</v>
      </c>
    </row>
    <row r="24" spans="1:13" x14ac:dyDescent="0.3">
      <c r="A24" s="8">
        <v>45364</v>
      </c>
      <c r="B24" s="9" t="s">
        <v>31</v>
      </c>
      <c r="C24" s="9" t="s">
        <v>41</v>
      </c>
      <c r="D24" s="9" t="s">
        <v>44</v>
      </c>
      <c r="E24" s="9" t="s">
        <v>47</v>
      </c>
      <c r="F24" s="9">
        <v>6</v>
      </c>
      <c r="G24" s="9">
        <v>2950</v>
      </c>
      <c r="H24" s="9">
        <f t="shared" si="0"/>
        <v>17700</v>
      </c>
      <c r="I24" s="9">
        <f t="shared" si="1"/>
        <v>3540</v>
      </c>
    </row>
    <row r="25" spans="1:13" x14ac:dyDescent="0.3">
      <c r="A25" s="8">
        <v>45342</v>
      </c>
      <c r="B25" s="9" t="s">
        <v>32</v>
      </c>
      <c r="C25" s="9" t="s">
        <v>42</v>
      </c>
      <c r="D25" s="9" t="s">
        <v>43</v>
      </c>
      <c r="E25" s="9" t="s">
        <v>46</v>
      </c>
      <c r="F25" s="9">
        <v>2</v>
      </c>
      <c r="G25" s="9">
        <v>36500</v>
      </c>
      <c r="H25" s="9">
        <f t="shared" si="0"/>
        <v>73000</v>
      </c>
      <c r="I25" s="9">
        <f t="shared" si="1"/>
        <v>14600</v>
      </c>
      <c r="L25" s="5" t="s">
        <v>49</v>
      </c>
      <c r="M25" t="s">
        <v>51</v>
      </c>
    </row>
    <row r="26" spans="1:13" x14ac:dyDescent="0.3">
      <c r="A26" s="8">
        <v>45299</v>
      </c>
      <c r="B26" s="9" t="s">
        <v>33</v>
      </c>
      <c r="C26" s="9" t="s">
        <v>39</v>
      </c>
      <c r="D26" s="9" t="s">
        <v>43</v>
      </c>
      <c r="E26" s="9" t="s">
        <v>45</v>
      </c>
      <c r="F26" s="9">
        <v>1</v>
      </c>
      <c r="G26" s="9">
        <v>59000</v>
      </c>
      <c r="H26" s="9">
        <f t="shared" si="0"/>
        <v>59000</v>
      </c>
      <c r="I26" s="9">
        <f t="shared" si="1"/>
        <v>11800</v>
      </c>
      <c r="L26" s="6" t="s">
        <v>53</v>
      </c>
      <c r="M26" s="7">
        <v>666800</v>
      </c>
    </row>
    <row r="27" spans="1:13" x14ac:dyDescent="0.3">
      <c r="A27" s="8">
        <v>45380</v>
      </c>
      <c r="B27" s="9" t="s">
        <v>34</v>
      </c>
      <c r="C27" s="9" t="s">
        <v>40</v>
      </c>
      <c r="D27" s="9" t="s">
        <v>43</v>
      </c>
      <c r="E27" s="9" t="s">
        <v>48</v>
      </c>
      <c r="F27" s="9">
        <v>4</v>
      </c>
      <c r="G27" s="9">
        <v>25000</v>
      </c>
      <c r="H27" s="9">
        <f t="shared" si="0"/>
        <v>100000</v>
      </c>
      <c r="I27" s="9">
        <f t="shared" si="1"/>
        <v>20000</v>
      </c>
      <c r="L27" s="6" t="s">
        <v>54</v>
      </c>
      <c r="M27" s="7">
        <v>528100</v>
      </c>
    </row>
    <row r="28" spans="1:13" x14ac:dyDescent="0.3">
      <c r="A28" s="8">
        <v>45337</v>
      </c>
      <c r="B28" s="9" t="s">
        <v>35</v>
      </c>
      <c r="C28" s="9" t="s">
        <v>41</v>
      </c>
      <c r="D28" s="9" t="s">
        <v>44</v>
      </c>
      <c r="E28" s="9" t="s">
        <v>45</v>
      </c>
      <c r="F28" s="9">
        <v>8</v>
      </c>
      <c r="G28" s="9">
        <v>2850</v>
      </c>
      <c r="H28" s="9">
        <f t="shared" si="0"/>
        <v>22800</v>
      </c>
      <c r="I28" s="9">
        <f t="shared" si="1"/>
        <v>4560</v>
      </c>
      <c r="L28" s="6" t="s">
        <v>55</v>
      </c>
      <c r="M28" s="7">
        <v>717000</v>
      </c>
    </row>
    <row r="29" spans="1:13" x14ac:dyDescent="0.3">
      <c r="A29" s="8">
        <v>45357</v>
      </c>
      <c r="B29" s="9" t="s">
        <v>36</v>
      </c>
      <c r="C29" s="9" t="s">
        <v>42</v>
      </c>
      <c r="D29" s="9" t="s">
        <v>43</v>
      </c>
      <c r="E29" s="9" t="s">
        <v>47</v>
      </c>
      <c r="F29" s="9">
        <v>3</v>
      </c>
      <c r="G29" s="9">
        <v>35000</v>
      </c>
      <c r="H29" s="9">
        <f t="shared" si="0"/>
        <v>105000</v>
      </c>
      <c r="I29" s="9">
        <f t="shared" si="1"/>
        <v>21000</v>
      </c>
      <c r="L29" s="6" t="s">
        <v>50</v>
      </c>
      <c r="M29" s="7">
        <v>1911900</v>
      </c>
    </row>
    <row r="30" spans="1:13" x14ac:dyDescent="0.3">
      <c r="A30" s="8">
        <v>45314</v>
      </c>
      <c r="B30" s="9" t="s">
        <v>37</v>
      </c>
      <c r="C30" s="9" t="s">
        <v>39</v>
      </c>
      <c r="D30" s="9" t="s">
        <v>43</v>
      </c>
      <c r="E30" s="9" t="s">
        <v>46</v>
      </c>
      <c r="F30" s="9">
        <v>2</v>
      </c>
      <c r="G30" s="9">
        <v>56000</v>
      </c>
      <c r="H30" s="9">
        <f t="shared" si="0"/>
        <v>112000</v>
      </c>
      <c r="I30" s="9">
        <f t="shared" si="1"/>
        <v>22400</v>
      </c>
    </row>
    <row r="31" spans="1:13" x14ac:dyDescent="0.3">
      <c r="A31" s="8">
        <v>45332</v>
      </c>
      <c r="B31" s="9" t="s">
        <v>38</v>
      </c>
      <c r="C31" s="9" t="s">
        <v>40</v>
      </c>
      <c r="D31" s="9" t="s">
        <v>43</v>
      </c>
      <c r="E31" s="9" t="s">
        <v>45</v>
      </c>
      <c r="F31" s="9">
        <v>1</v>
      </c>
      <c r="G31" s="9">
        <v>27000</v>
      </c>
      <c r="H31" s="9">
        <f t="shared" si="0"/>
        <v>27000</v>
      </c>
      <c r="I31" s="9">
        <f t="shared" si="1"/>
        <v>5400</v>
      </c>
    </row>
    <row r="34" spans="12:13" x14ac:dyDescent="0.3">
      <c r="L34" s="5" t="s">
        <v>49</v>
      </c>
      <c r="M34" t="s">
        <v>51</v>
      </c>
    </row>
    <row r="35" spans="12:13" x14ac:dyDescent="0.3">
      <c r="L35" s="6" t="s">
        <v>41</v>
      </c>
      <c r="M35" s="7">
        <v>120900</v>
      </c>
    </row>
    <row r="36" spans="12:13" x14ac:dyDescent="0.3">
      <c r="L36" s="6" t="s">
        <v>39</v>
      </c>
      <c r="M36" s="7">
        <v>794500</v>
      </c>
    </row>
    <row r="37" spans="12:13" x14ac:dyDescent="0.3">
      <c r="L37" s="6" t="s">
        <v>40</v>
      </c>
      <c r="M37" s="7">
        <v>504000</v>
      </c>
    </row>
    <row r="38" spans="12:13" x14ac:dyDescent="0.3">
      <c r="L38" s="6" t="s">
        <v>42</v>
      </c>
      <c r="M38" s="7">
        <v>492500</v>
      </c>
    </row>
    <row r="39" spans="12:13" x14ac:dyDescent="0.3">
      <c r="L39" s="6" t="s">
        <v>50</v>
      </c>
      <c r="M39" s="7">
        <v>1911900</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09158-C314-432C-9578-5892557D9096}">
  <dimension ref="B28:E29"/>
  <sheetViews>
    <sheetView showGridLines="0" tabSelected="1" zoomScale="77" workbookViewId="0">
      <selection activeCell="R29" sqref="R29"/>
    </sheetView>
  </sheetViews>
  <sheetFormatPr defaultRowHeight="14.4" x14ac:dyDescent="0.3"/>
  <cols>
    <col min="2" max="2" width="24.33203125" bestFit="1" customWidth="1"/>
    <col min="5" max="5" width="17.44140625" bestFit="1" customWidth="1"/>
  </cols>
  <sheetData>
    <row r="28" spans="2:5" ht="21" x14ac:dyDescent="0.4">
      <c r="B28" s="11" t="s">
        <v>56</v>
      </c>
      <c r="E28" s="11" t="s">
        <v>57</v>
      </c>
    </row>
    <row r="29" spans="2:5" ht="25.8" x14ac:dyDescent="0.5">
      <c r="B29" s="10">
        <f>SUM(Raw_data!H:H)</f>
        <v>1911900</v>
      </c>
      <c r="E29" s="10">
        <f>SUM(Raw_data!I:I)</f>
        <v>382380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Samridhi Bansal</dc:creator>
  <cp:lastModifiedBy>Samridhi Bansal</cp:lastModifiedBy>
  <dcterms:created xsi:type="dcterms:W3CDTF">2026-01-07T18:09:18Z</dcterms:created>
  <dcterms:modified xsi:type="dcterms:W3CDTF">2026-01-08T19:13:34Z</dcterms:modified>
</cp:coreProperties>
</file>